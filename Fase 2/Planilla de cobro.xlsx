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raca\OneDrive\Escritorio\Capstone\Capstone0032025\Fase 2\"/>
    </mc:Choice>
  </mc:AlternateContent>
  <xr:revisionPtr revIDLastSave="0" documentId="13_ncr:1_{4B40D7B1-219B-4912-A3B8-26A75A16A409}" xr6:coauthVersionLast="47" xr6:coauthVersionMax="47" xr10:uidLastSave="{00000000-0000-0000-0000-000000000000}"/>
  <bookViews>
    <workbookView xWindow="700" yWindow="1890" windowWidth="18500" windowHeight="8310" activeTab="1" xr2:uid="{888B8EF5-71D5-4313-9C52-6B066ABACBD1}"/>
  </bookViews>
  <sheets>
    <sheet name="Proyecto" sheetId="1" r:id="rId1"/>
    <sheet name="Detalle" sheetId="2" r:id="rId2"/>
    <sheet name="Adicional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2" l="1"/>
  <c r="F6" i="2"/>
  <c r="F7" i="2"/>
  <c r="F8" i="2"/>
  <c r="F4" i="2"/>
  <c r="H4" i="2" l="1"/>
  <c r="I4" i="2" s="1"/>
  <c r="J4" i="2" s="1"/>
</calcChain>
</file>

<file path=xl/sharedStrings.xml><?xml version="1.0" encoding="utf-8"?>
<sst xmlns="http://schemas.openxmlformats.org/spreadsheetml/2006/main" count="41" uniqueCount="41">
  <si>
    <t>Planilla de Cobro – Desarrollo Sistema de Cotizaciones Digital</t>
  </si>
  <si>
    <t>Nombre Proyecto</t>
  </si>
  <si>
    <t>Cliente</t>
  </si>
  <si>
    <t>Ubicación</t>
  </si>
  <si>
    <t>Fecha de emision</t>
  </si>
  <si>
    <t>Profesional</t>
  </si>
  <si>
    <t>Correo</t>
  </si>
  <si>
    <t>RUT</t>
  </si>
  <si>
    <t>Sistema de Cotizaciones Digital</t>
  </si>
  <si>
    <t>Vidriería Verónica</t>
  </si>
  <si>
    <t>Quilicura, Santiago de Chile</t>
  </si>
  <si>
    <t>Francisca Javiera Castro Núñez</t>
  </si>
  <si>
    <t>castro.fran96@gmail.com</t>
  </si>
  <si>
    <t>18.860.415-3</t>
  </si>
  <si>
    <t>Detalles del servicio</t>
  </si>
  <si>
    <t>N°</t>
  </si>
  <si>
    <t>Descripción del servicio</t>
  </si>
  <si>
    <t>Cantidad</t>
  </si>
  <si>
    <t>Diseño y desarrollo del sistema web (módulos de clientes, productos, cotizaciones y PDF)</t>
  </si>
  <si>
    <t>Configuración de base de datos y entorno (PostgreSQL / Hosting)</t>
  </si>
  <si>
    <t>Capacitación al personal (uso del sistema, envío de cotizaciones)</t>
  </si>
  <si>
    <t>Pruebas y optimización final (rendimiento y validaciones)</t>
  </si>
  <si>
    <t>Manual técnico y documentación de entrega</t>
  </si>
  <si>
    <t>Subtotal</t>
  </si>
  <si>
    <t>IVA</t>
  </si>
  <si>
    <t>TOTAL</t>
  </si>
  <si>
    <t>Condiciones</t>
  </si>
  <si>
    <t>Formas de pago</t>
  </si>
  <si>
    <t>Plazo</t>
  </si>
  <si>
    <t>Cuenta</t>
  </si>
  <si>
    <t>Plazo de validez de la cotizacion</t>
  </si>
  <si>
    <t>Transferencia bancaria o efectivo.</t>
  </si>
  <si>
    <t>50 % al inicio – 50 % contra entrega final.</t>
  </si>
  <si>
    <t>30 días desde la fecha de emisión.</t>
  </si>
  <si>
    <t>Observaciones</t>
  </si>
  <si>
    <t>Incluye instalación, configuración inicial y prueba de funcionamiento.</t>
  </si>
  <si>
    <t>No incluye mantenimiento posterior (se cotiza aparte si se solicita).</t>
  </si>
  <si>
    <t>Entrega estimada: 8 a 10 semanas desde aprobación.</t>
  </si>
  <si>
    <t>Valor total (CLP)</t>
  </si>
  <si>
    <t>Valor por hora (CLP)</t>
  </si>
  <si>
    <t>Tiempo de ejecucion (Horas)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</si>
</sst>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 &quot;$&quot;* #,##0_ ;_ &quot;$&quot;* \-#,##0_ ;_ &quot;$&quot;* &quot;-&quot;_ ;_ @_ "/>
    <numFmt numFmtId="41" formatCode="_ * #,##0_ ;_ * \-#,##0_ ;_ * &quot;-&quot;_ ;_ @_ "/>
    <numFmt numFmtId="164" formatCode="_ [$$-340A]* #,##0.00_ ;_ [$$-340A]* \-#,##0.00_ ;_ [$$-340A]* &quot;-&quot;??_ ;_ @_ 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2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33">
    <xf numFmtId="0" fontId="0" fillId="0" borderId="0" xfId="0"/>
    <xf numFmtId="0" fontId="4" fillId="0" borderId="0" xfId="0" applyFont="1"/>
    <xf numFmtId="0" fontId="0" fillId="3" borderId="1" xfId="0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0" fillId="3" borderId="5" xfId="0" applyFill="1" applyBorder="1" applyAlignment="1">
      <alignment vertical="center" wrapText="1"/>
    </xf>
    <xf numFmtId="0" fontId="0" fillId="3" borderId="7" xfId="0" applyFill="1" applyBorder="1" applyAlignment="1">
      <alignment vertical="center" wrapText="1"/>
    </xf>
    <xf numFmtId="0" fontId="0" fillId="3" borderId="8" xfId="0" applyFill="1" applyBorder="1" applyAlignment="1">
      <alignment vertical="center" wrapText="1"/>
    </xf>
    <xf numFmtId="0" fontId="5" fillId="0" borderId="0" xfId="0" applyFont="1"/>
    <xf numFmtId="0" fontId="3" fillId="2" borderId="1" xfId="0" applyFont="1" applyFill="1" applyBorder="1"/>
    <xf numFmtId="41" fontId="0" fillId="3" borderId="1" xfId="2" applyFont="1" applyFill="1" applyBorder="1" applyAlignment="1">
      <alignment vertical="center" wrapText="1"/>
    </xf>
    <xf numFmtId="164" fontId="0" fillId="3" borderId="1" xfId="1" applyNumberFormat="1" applyFont="1" applyFill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164" fontId="0" fillId="0" borderId="7" xfId="1" applyNumberFormat="1" applyFont="1" applyBorder="1"/>
    <xf numFmtId="164" fontId="0" fillId="0" borderId="8" xfId="1" applyNumberFormat="1" applyFont="1" applyBorder="1"/>
    <xf numFmtId="164" fontId="0" fillId="0" borderId="9" xfId="1" applyNumberFormat="1" applyFont="1" applyBorder="1"/>
    <xf numFmtId="41" fontId="0" fillId="3" borderId="10" xfId="2" applyFont="1" applyFill="1" applyBorder="1" applyAlignment="1">
      <alignment vertical="center" wrapText="1"/>
    </xf>
    <xf numFmtId="0" fontId="3" fillId="2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0" fillId="3" borderId="4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14" fontId="0" fillId="3" borderId="1" xfId="0" applyNumberFormat="1" applyFill="1" applyBorder="1" applyAlignment="1">
      <alignment horizontal="left"/>
    </xf>
    <xf numFmtId="14" fontId="0" fillId="3" borderId="6" xfId="0" applyNumberFormat="1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0" fillId="0" borderId="0" xfId="0" applyAlignment="1">
      <alignment horizontal="left"/>
    </xf>
  </cellXfs>
  <cellStyles count="3">
    <cellStyle name="Millares [0]" xfId="2" builtinId="6"/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1635D-6627-47B8-985E-8CFC1121EF1F}">
  <dimension ref="A1:E9"/>
  <sheetViews>
    <sheetView workbookViewId="0">
      <selection activeCell="H5" sqref="H5"/>
    </sheetView>
  </sheetViews>
  <sheetFormatPr baseColWidth="10" defaultRowHeight="14.5" x14ac:dyDescent="0.35"/>
  <sheetData>
    <row r="1" spans="1:5" ht="36" x14ac:dyDescent="0.8">
      <c r="A1" s="1" t="s">
        <v>0</v>
      </c>
    </row>
    <row r="2" spans="1:5" ht="15" thickBot="1" x14ac:dyDescent="0.4"/>
    <row r="3" spans="1:5" x14ac:dyDescent="0.35">
      <c r="A3" s="28" t="s">
        <v>1</v>
      </c>
      <c r="B3" s="29"/>
      <c r="C3" s="20" t="s">
        <v>8</v>
      </c>
      <c r="D3" s="20"/>
      <c r="E3" s="21"/>
    </row>
    <row r="4" spans="1:5" x14ac:dyDescent="0.35">
      <c r="A4" s="30" t="s">
        <v>2</v>
      </c>
      <c r="B4" s="31"/>
      <c r="C4" s="22" t="s">
        <v>9</v>
      </c>
      <c r="D4" s="22"/>
      <c r="E4" s="23"/>
    </row>
    <row r="5" spans="1:5" x14ac:dyDescent="0.35">
      <c r="A5" s="30" t="s">
        <v>3</v>
      </c>
      <c r="B5" s="31"/>
      <c r="C5" s="22" t="s">
        <v>10</v>
      </c>
      <c r="D5" s="22"/>
      <c r="E5" s="23"/>
    </row>
    <row r="6" spans="1:5" x14ac:dyDescent="0.35">
      <c r="A6" s="30" t="s">
        <v>4</v>
      </c>
      <c r="B6" s="31"/>
      <c r="C6" s="24">
        <v>45968</v>
      </c>
      <c r="D6" s="24"/>
      <c r="E6" s="25"/>
    </row>
    <row r="7" spans="1:5" x14ac:dyDescent="0.35">
      <c r="A7" s="30" t="s">
        <v>5</v>
      </c>
      <c r="B7" s="31"/>
      <c r="C7" s="22" t="s">
        <v>11</v>
      </c>
      <c r="D7" s="22"/>
      <c r="E7" s="23"/>
    </row>
    <row r="8" spans="1:5" x14ac:dyDescent="0.35">
      <c r="A8" s="30" t="s">
        <v>6</v>
      </c>
      <c r="B8" s="31"/>
      <c r="C8" s="22" t="s">
        <v>12</v>
      </c>
      <c r="D8" s="22"/>
      <c r="E8" s="23"/>
    </row>
    <row r="9" spans="1:5" ht="15" thickBot="1" x14ac:dyDescent="0.4">
      <c r="A9" s="18" t="s">
        <v>7</v>
      </c>
      <c r="B9" s="19"/>
      <c r="C9" s="26" t="s">
        <v>13</v>
      </c>
      <c r="D9" s="26"/>
      <c r="E9" s="27"/>
    </row>
  </sheetData>
  <mergeCells count="14">
    <mergeCell ref="A9:B9"/>
    <mergeCell ref="C3:E3"/>
    <mergeCell ref="C4:E4"/>
    <mergeCell ref="C5:E5"/>
    <mergeCell ref="C6:E6"/>
    <mergeCell ref="C7:E7"/>
    <mergeCell ref="C8:E8"/>
    <mergeCell ref="C9:E9"/>
    <mergeCell ref="A3:B3"/>
    <mergeCell ref="A4:B4"/>
    <mergeCell ref="A5:B5"/>
    <mergeCell ref="A6:B6"/>
    <mergeCell ref="A7:B7"/>
    <mergeCell ref="A8:B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C6BBC-E2EF-4336-8FE9-6894B832C706}">
  <dimension ref="A1:J8"/>
  <sheetViews>
    <sheetView tabSelected="1" topLeftCell="A7" zoomScaleNormal="100" workbookViewId="0">
      <selection activeCell="F1" sqref="F1"/>
    </sheetView>
  </sheetViews>
  <sheetFormatPr baseColWidth="10" defaultRowHeight="14.5" x14ac:dyDescent="0.35"/>
  <cols>
    <col min="1" max="1" width="21.453125" customWidth="1"/>
    <col min="2" max="2" width="21.81640625" customWidth="1"/>
    <col min="3" max="3" width="11.26953125" customWidth="1"/>
    <col min="4" max="5" width="19.90625" customWidth="1"/>
    <col min="6" max="6" width="17.26953125" customWidth="1"/>
    <col min="8" max="8" width="13.26953125" bestFit="1" customWidth="1"/>
    <col min="9" max="9" width="11.7265625" bestFit="1" customWidth="1"/>
    <col min="10" max="10" width="13.26953125" bestFit="1" customWidth="1"/>
  </cols>
  <sheetData>
    <row r="1" spans="1:10" ht="36" x14ac:dyDescent="0.8">
      <c r="A1" s="1" t="s">
        <v>14</v>
      </c>
    </row>
    <row r="2" spans="1:10" ht="15" thickBot="1" x14ac:dyDescent="0.4"/>
    <row r="3" spans="1:10" ht="29" x14ac:dyDescent="0.35">
      <c r="A3" s="3" t="s">
        <v>15</v>
      </c>
      <c r="B3" s="4" t="s">
        <v>16</v>
      </c>
      <c r="C3" s="4" t="s">
        <v>17</v>
      </c>
      <c r="D3" s="4" t="s">
        <v>39</v>
      </c>
      <c r="E3" s="4" t="s">
        <v>40</v>
      </c>
      <c r="F3" s="4" t="s">
        <v>38</v>
      </c>
      <c r="H3" s="3" t="s">
        <v>23</v>
      </c>
      <c r="I3" s="4" t="s">
        <v>24</v>
      </c>
      <c r="J3" s="5" t="s">
        <v>25</v>
      </c>
    </row>
    <row r="4" spans="1:10" ht="58.5" thickBot="1" x14ac:dyDescent="0.4">
      <c r="A4" s="6">
        <v>1</v>
      </c>
      <c r="B4" s="2" t="s">
        <v>18</v>
      </c>
      <c r="C4" s="2">
        <v>1</v>
      </c>
      <c r="D4" s="12">
        <v>30000</v>
      </c>
      <c r="E4" s="11">
        <v>75</v>
      </c>
      <c r="F4" s="13">
        <f>(D4*E4)</f>
        <v>2250000</v>
      </c>
      <c r="H4" s="14">
        <f>(F4+F5+F6+F7+F8)</f>
        <v>3810000</v>
      </c>
      <c r="I4" s="15">
        <f>(H4*0.19)</f>
        <v>723900</v>
      </c>
      <c r="J4" s="16">
        <f>(H4+I4)</f>
        <v>4533900</v>
      </c>
    </row>
    <row r="5" spans="1:10" ht="43.5" x14ac:dyDescent="0.35">
      <c r="A5" s="6">
        <v>2</v>
      </c>
      <c r="B5" s="2" t="s">
        <v>19</v>
      </c>
      <c r="C5" s="2">
        <v>1</v>
      </c>
      <c r="D5" s="12">
        <v>30000</v>
      </c>
      <c r="E5" s="11">
        <v>20</v>
      </c>
      <c r="F5" s="13">
        <f t="shared" ref="F5:F8" si="0">(D5*E5)</f>
        <v>600000</v>
      </c>
    </row>
    <row r="6" spans="1:10" ht="43.5" x14ac:dyDescent="0.35">
      <c r="A6" s="6">
        <v>3</v>
      </c>
      <c r="B6" s="2" t="s">
        <v>20</v>
      </c>
      <c r="C6" s="2">
        <v>1</v>
      </c>
      <c r="D6" s="12">
        <v>30000</v>
      </c>
      <c r="E6" s="11">
        <v>8</v>
      </c>
      <c r="F6" s="13">
        <f t="shared" si="0"/>
        <v>240000</v>
      </c>
    </row>
    <row r="7" spans="1:10" ht="43.5" x14ac:dyDescent="0.35">
      <c r="A7" s="6">
        <v>4</v>
      </c>
      <c r="B7" s="2" t="s">
        <v>21</v>
      </c>
      <c r="C7" s="2">
        <v>1</v>
      </c>
      <c r="D7" s="12">
        <v>30000</v>
      </c>
      <c r="E7" s="11">
        <v>16</v>
      </c>
      <c r="F7" s="13">
        <f t="shared" si="0"/>
        <v>480000</v>
      </c>
    </row>
    <row r="8" spans="1:10" ht="44" thickBot="1" x14ac:dyDescent="0.4">
      <c r="A8" s="7">
        <v>5</v>
      </c>
      <c r="B8" s="8" t="s">
        <v>22</v>
      </c>
      <c r="C8" s="8">
        <v>1</v>
      </c>
      <c r="D8" s="12">
        <v>30000</v>
      </c>
      <c r="E8" s="17">
        <v>8</v>
      </c>
      <c r="F8" s="13">
        <f t="shared" si="0"/>
        <v>240000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C7588-180B-455B-AEE6-2888B284BB07}">
  <dimension ref="A1:E13"/>
  <sheetViews>
    <sheetView workbookViewId="0">
      <selection activeCell="G11" sqref="G11"/>
    </sheetView>
  </sheetViews>
  <sheetFormatPr baseColWidth="10" defaultRowHeight="14.5" x14ac:dyDescent="0.35"/>
  <cols>
    <col min="1" max="1" width="32.90625" customWidth="1"/>
  </cols>
  <sheetData>
    <row r="1" spans="1:5" ht="33.5" x14ac:dyDescent="0.75">
      <c r="A1" s="9" t="s">
        <v>26</v>
      </c>
    </row>
    <row r="3" spans="1:5" x14ac:dyDescent="0.35">
      <c r="A3" s="10" t="s">
        <v>27</v>
      </c>
      <c r="B3" s="22" t="s">
        <v>31</v>
      </c>
      <c r="C3" s="22"/>
      <c r="D3" s="22"/>
      <c r="E3" s="22"/>
    </row>
    <row r="4" spans="1:5" x14ac:dyDescent="0.35">
      <c r="A4" s="10" t="s">
        <v>28</v>
      </c>
      <c r="B4" s="22" t="s">
        <v>32</v>
      </c>
      <c r="C4" s="22"/>
      <c r="D4" s="22"/>
      <c r="E4" s="22"/>
    </row>
    <row r="5" spans="1:5" x14ac:dyDescent="0.35">
      <c r="A5" s="10" t="s">
        <v>29</v>
      </c>
      <c r="B5" s="22"/>
      <c r="C5" s="22"/>
      <c r="D5" s="22"/>
      <c r="E5" s="22"/>
    </row>
    <row r="6" spans="1:5" x14ac:dyDescent="0.35">
      <c r="A6" s="10" t="s">
        <v>30</v>
      </c>
      <c r="B6" s="22" t="s">
        <v>33</v>
      </c>
      <c r="C6" s="22"/>
      <c r="D6" s="22"/>
      <c r="E6" s="22"/>
    </row>
    <row r="9" spans="1:5" ht="33.5" x14ac:dyDescent="0.75">
      <c r="A9" s="9" t="s">
        <v>34</v>
      </c>
    </row>
    <row r="11" spans="1:5" x14ac:dyDescent="0.35">
      <c r="A11" s="32" t="s">
        <v>35</v>
      </c>
      <c r="B11" s="32"/>
      <c r="C11" s="32"/>
      <c r="D11" s="32"/>
    </row>
    <row r="12" spans="1:5" x14ac:dyDescent="0.35">
      <c r="A12" s="32" t="s">
        <v>36</v>
      </c>
      <c r="B12" s="32"/>
      <c r="C12" s="32"/>
      <c r="D12" s="32"/>
    </row>
    <row r="13" spans="1:5" x14ac:dyDescent="0.35">
      <c r="A13" s="32" t="s">
        <v>37</v>
      </c>
      <c r="B13" s="32"/>
      <c r="C13" s="32"/>
      <c r="D13" s="32"/>
    </row>
  </sheetData>
  <mergeCells count="7">
    <mergeCell ref="A13:D13"/>
    <mergeCell ref="B3:E3"/>
    <mergeCell ref="B4:E4"/>
    <mergeCell ref="B5:E5"/>
    <mergeCell ref="B6:E6"/>
    <mergeCell ref="A11:D11"/>
    <mergeCell ref="A12:D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</vt:lpstr>
      <vt:lpstr>Detalle</vt:lpstr>
      <vt:lpstr>Adicionales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Francisca Castro</dc:creator>
  <cp:lastModifiedBy>Francisca Castro</cp:lastModifiedBy>
  <dcterms:created xsi:type="dcterms:W3CDTF">2025-10-24T01:49:27Z</dcterms:created>
  <dcterms:modified xsi:type="dcterms:W3CDTF">2025-11-14T16:21:04Z</dcterms:modified>
</cp:coreProperties>
</file>